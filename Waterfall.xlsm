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oqua\OneDrive\Documents\"/>
    </mc:Choice>
  </mc:AlternateContent>
  <xr:revisionPtr revIDLastSave="0" documentId="13_ncr:1_{F78BFDD9-8471-41FD-85DC-3F7432AF796E}" xr6:coauthVersionLast="47" xr6:coauthVersionMax="47" xr10:uidLastSave="{00000000-0000-0000-0000-000000000000}"/>
  <bookViews>
    <workbookView xWindow="585" yWindow="1500" windowWidth="19095" windowHeight="13110" xr2:uid="{60D36556-B79C-4A47-A371-3C3F1EEA506E}"/>
  </bookViews>
  <sheets>
    <sheet name="Waterfall" sheetId="2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1" i="2" l="1" a="1"/>
  <c r="G21" i="2" s="1"/>
  <c r="F21" i="2" a="1"/>
  <c r="F21" i="2" s="1"/>
  <c r="D9" i="2" a="1"/>
  <c r="D9" i="2" s="1"/>
  <c r="E9" i="2"/>
  <c r="AC12" i="2"/>
  <c r="W11" i="2"/>
  <c r="X10" i="2"/>
  <c r="W10" i="2"/>
  <c r="Q9" i="2"/>
  <c r="L7" i="2"/>
  <c r="L6" i="2"/>
  <c r="I7" i="2"/>
  <c r="I11" i="2"/>
  <c r="K5" i="2"/>
  <c r="I8" i="2" s="1"/>
  <c r="E5" i="2"/>
  <c r="F15" i="2" s="1" a="1"/>
  <c r="F15" i="2" s="1"/>
  <c r="F5" i="2"/>
  <c r="D5" i="2"/>
  <c r="B15" i="2" a="1"/>
  <c r="B15" i="2" s="1"/>
  <c r="D7" i="2" a="1"/>
  <c r="D7" i="2" s="1"/>
  <c r="D8" i="2" a="1"/>
  <c r="D8" i="2" s="1"/>
  <c r="D6" i="2" a="1"/>
  <c r="D6" i="2" s="1"/>
  <c r="X11" i="2" a="1"/>
  <c r="R9" i="2" a="1"/>
  <c r="L8" i="2" a="1"/>
  <c r="G23" i="2" l="1"/>
  <c r="G24" i="2"/>
  <c r="G22" i="2"/>
  <c r="F24" i="2"/>
  <c r="F23" i="2"/>
  <c r="F22" i="2"/>
  <c r="F9" i="2"/>
  <c r="F7" i="2"/>
  <c r="I12" i="2"/>
  <c r="I10" i="2"/>
  <c r="I9" i="2"/>
  <c r="I6" i="2"/>
  <c r="X11" i="2"/>
  <c r="AC11" i="2" s="1"/>
  <c r="R9" i="2"/>
  <c r="W9" i="2" s="1"/>
  <c r="X9" i="2" s="1"/>
  <c r="L8" i="2"/>
  <c r="F18" i="2"/>
  <c r="F17" i="2"/>
  <c r="F16" i="2"/>
  <c r="E7" i="2"/>
  <c r="B18" i="2"/>
  <c r="B17" i="2"/>
  <c r="B16" i="2"/>
  <c r="B21" i="2" s="1" a="1"/>
  <c r="F8" i="2"/>
  <c r="E8" i="2"/>
  <c r="F6" i="2"/>
  <c r="E6" i="2"/>
  <c r="B21" i="2" l="1"/>
  <c r="B23" i="2"/>
  <c r="B24" i="2"/>
  <c r="B22" i="2"/>
  <c r="Y9" i="2" a="1"/>
  <c r="Y9" i="2" s="1"/>
  <c r="Q8" i="2"/>
  <c r="R8" i="2" s="1"/>
  <c r="S8" i="2" s="1" a="1"/>
  <c r="M6" i="2" a="1"/>
  <c r="Y11" i="2" l="1"/>
  <c r="AB9" i="2"/>
  <c r="AA10" i="2"/>
  <c r="AB11" i="2"/>
  <c r="Z9" i="2"/>
  <c r="AA11" i="2"/>
  <c r="Z10" i="2"/>
  <c r="AA9" i="2"/>
  <c r="AB10" i="2"/>
  <c r="Z11" i="2"/>
  <c r="Y10" i="2"/>
  <c r="M6" i="2"/>
  <c r="P7" i="2"/>
  <c r="N8" i="2"/>
  <c r="P6" i="2"/>
  <c r="O6" i="2"/>
  <c r="O7" i="2"/>
  <c r="N6" i="2"/>
  <c r="N7" i="2"/>
  <c r="M8" i="2"/>
  <c r="M7" i="2"/>
  <c r="P8" i="2"/>
  <c r="O8" i="2"/>
  <c r="S8" i="2"/>
  <c r="T9" i="2"/>
  <c r="U9" i="2"/>
  <c r="V9" i="2"/>
  <c r="S9" i="2"/>
  <c r="V8" i="2"/>
  <c r="U8" i="2"/>
  <c r="T8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<sst xmlns="http://schemas.openxmlformats.org/spreadsheetml/2006/main" count="50" uniqueCount="25">
  <si>
    <t>Manager</t>
  </si>
  <si>
    <t>Hurdle</t>
  </si>
  <si>
    <t>Waterfall Distribution Model</t>
  </si>
  <si>
    <t>PartnerA</t>
  </si>
  <si>
    <t>PartnerB</t>
  </si>
  <si>
    <t>PartnerC</t>
  </si>
  <si>
    <t>IRR</t>
  </si>
  <si>
    <t>T</t>
  </si>
  <si>
    <t>CF</t>
  </si>
  <si>
    <t>Investment</t>
  </si>
  <si>
    <t>Initial Allocation</t>
  </si>
  <si>
    <t>millions</t>
  </si>
  <si>
    <t>Distribute</t>
  </si>
  <si>
    <t>NPV = cf0 + cf(1)/d1 + cf(2)/d2 + cf(3)/d3</t>
  </si>
  <si>
    <t>NPV = 0</t>
  </si>
  <si>
    <t>0 - cf0 = cf(1)/d1 + cf(2)/d2 + cf(3)/d3</t>
  </si>
  <si>
    <t>-cf0 - cf(1)/d1 - cf(2)/d2 = cf(3)/d3</t>
  </si>
  <si>
    <t>(-cf0 - (cf1 + cf2))*d3 = cf(3)</t>
  </si>
  <si>
    <t>Hurdle 1% Split</t>
  </si>
  <si>
    <t>Remaining</t>
  </si>
  <si>
    <t>Hurdle 10% Split</t>
  </si>
  <si>
    <t>Final Allocation</t>
  </si>
  <si>
    <t>Final</t>
  </si>
  <si>
    <t>CF1</t>
  </si>
  <si>
    <t>CF2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</si>
</sst>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0.0%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0"/>
      <color rgb="FF92D050"/>
      <name val="Aptos Narrow"/>
      <family val="2"/>
      <scheme val="minor"/>
    </font>
    <font>
      <sz val="11"/>
      <color rgb="FF92D050"/>
      <name val="Aptos Narrow"/>
      <family val="2"/>
      <scheme val="minor"/>
    </font>
    <font>
      <b/>
      <i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indexed="64"/>
      </bottom>
      <diagonal/>
    </border>
  </borders>
  <cellStyleXfs count="2">
    <xf numFmtId="0" fontId="0" fillId="0" borderId="0"/>
    <xf numFmtId="0" fontId="1" fillId="4" borderId="2" applyNumberFormat="0" applyFont="0" applyAlignment="0" applyProtection="0"/>
  </cellStyleXfs>
  <cellXfs count="20">
    <xf numFmtId="0" fontId="0" fillId="0" borderId="0" xfId="0"/>
    <xf numFmtId="0" fontId="0" fillId="2" borderId="0" xfId="0" applyFill="1"/>
    <xf numFmtId="10" fontId="0" fillId="3" borderId="1" xfId="0" applyNumberFormat="1" applyFill="1" applyBorder="1" applyAlignment="1">
      <alignment horizontal="center"/>
    </xf>
    <xf numFmtId="0" fontId="2" fillId="2" borderId="0" xfId="0" applyFont="1" applyFill="1"/>
    <xf numFmtId="0" fontId="4" fillId="5" borderId="0" xfId="0" applyFont="1" applyFill="1"/>
    <xf numFmtId="0" fontId="5" fillId="5" borderId="0" xfId="0" applyFont="1" applyFill="1"/>
    <xf numFmtId="0" fontId="5" fillId="5" borderId="1" xfId="0" applyFont="1" applyFill="1" applyBorder="1" applyAlignment="1">
      <alignment horizontal="center"/>
    </xf>
    <xf numFmtId="9" fontId="0" fillId="6" borderId="1" xfId="0" applyNumberFormat="1" applyFill="1" applyBorder="1" applyAlignment="1">
      <alignment horizontal="center"/>
    </xf>
    <xf numFmtId="8" fontId="0" fillId="2" borderId="0" xfId="0" applyNumberFormat="1" applyFill="1"/>
    <xf numFmtId="9" fontId="3" fillId="5" borderId="1" xfId="0" applyNumberFormat="1" applyFont="1" applyFill="1" applyBorder="1" applyAlignment="1">
      <alignment horizontal="center"/>
    </xf>
    <xf numFmtId="8" fontId="0" fillId="4" borderId="2" xfId="1" applyNumberFormat="1" applyFont="1"/>
    <xf numFmtId="0" fontId="2" fillId="2" borderId="3" xfId="0" applyFont="1" applyFill="1" applyBorder="1"/>
    <xf numFmtId="0" fontId="0" fillId="2" borderId="3" xfId="0" applyFill="1" applyBorder="1"/>
    <xf numFmtId="0" fontId="6" fillId="2" borderId="0" xfId="0" applyFont="1" applyFill="1"/>
    <xf numFmtId="10" fontId="0" fillId="2" borderId="0" xfId="0" applyNumberFormat="1" applyFill="1"/>
    <xf numFmtId="0" fontId="0" fillId="2" borderId="0" xfId="0" quotePrefix="1" applyFill="1"/>
    <xf numFmtId="0" fontId="0" fillId="2" borderId="0" xfId="0" applyFill="1" applyAlignment="1">
      <alignment horizontal="center"/>
    </xf>
    <xf numFmtId="0" fontId="0" fillId="2" borderId="0" xfId="0" applyFill="1" applyAlignment="1">
      <alignment horizontal="left"/>
    </xf>
    <xf numFmtId="164" fontId="2" fillId="2" borderId="0" xfId="0" applyNumberFormat="1" applyFont="1" applyFill="1"/>
    <xf numFmtId="10" fontId="2" fillId="2" borderId="0" xfId="0" applyNumberFormat="1" applyFont="1" applyFill="1"/>
  </cellXfs>
  <cellStyles count="2">
    <cellStyle name="Normal" xfId="0" builtinId="0"/>
    <cellStyle name="Note" xfId="1" builtinId="1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45FCF0-BFA2-482F-A46B-A9D5E8714CB0}">
  <sheetPr codeName="Sheet1"/>
  <dimension ref="A1:AC38"/>
  <sheetViews>
    <sheetView tabSelected="1" topLeftCell="A2" workbookViewId="0">
      <selection activeCell="F27" sqref="F27"/>
    </sheetView>
  </sheetViews>
  <sheetFormatPr defaultColWidth="11.7109375" defaultRowHeight="15" x14ac:dyDescent="0.25"/>
  <cols>
    <col min="1" max="8" width="9.140625" style="1" customWidth="1"/>
    <col min="9" max="16" width="11.7109375" style="1" customWidth="1"/>
    <col min="17" max="16384" width="11.7109375" style="1"/>
  </cols>
  <sheetData>
    <row r="1" spans="1:29" s="5" customFormat="1" ht="26.25" x14ac:dyDescent="0.4">
      <c r="A1" s="4" t="s">
        <v>2</v>
      </c>
    </row>
    <row r="3" spans="1:29" x14ac:dyDescent="0.25">
      <c r="M3" s="16" t="s">
        <v>18</v>
      </c>
      <c r="N3" s="16"/>
      <c r="O3" s="16"/>
      <c r="P3" s="16"/>
      <c r="S3" s="16" t="s">
        <v>20</v>
      </c>
      <c r="T3" s="16"/>
      <c r="U3" s="16"/>
      <c r="V3" s="16"/>
      <c r="Y3" s="16" t="s">
        <v>20</v>
      </c>
      <c r="Z3" s="16"/>
      <c r="AA3" s="16"/>
      <c r="AB3" s="16"/>
    </row>
    <row r="4" spans="1:29" x14ac:dyDescent="0.25">
      <c r="B4" s="6" t="s">
        <v>1</v>
      </c>
      <c r="C4" s="6" t="s">
        <v>0</v>
      </c>
      <c r="D4" s="6" t="s">
        <v>3</v>
      </c>
      <c r="E4" s="6" t="s">
        <v>4</v>
      </c>
      <c r="F4" s="6" t="s">
        <v>5</v>
      </c>
      <c r="I4" s="17" t="s">
        <v>6</v>
      </c>
      <c r="J4" s="17" t="s">
        <v>7</v>
      </c>
      <c r="K4" s="17" t="s">
        <v>8</v>
      </c>
      <c r="L4" s="17" t="s">
        <v>12</v>
      </c>
      <c r="M4" s="17" t="s">
        <v>0</v>
      </c>
      <c r="N4" s="17" t="s">
        <v>3</v>
      </c>
      <c r="O4" s="17" t="s">
        <v>4</v>
      </c>
      <c r="P4" s="17" t="s">
        <v>5</v>
      </c>
      <c r="Q4" s="17" t="s">
        <v>19</v>
      </c>
      <c r="R4" s="17" t="s">
        <v>12</v>
      </c>
      <c r="S4" s="1" t="s">
        <v>0</v>
      </c>
      <c r="T4" s="1" t="s">
        <v>3</v>
      </c>
      <c r="U4" s="1" t="s">
        <v>4</v>
      </c>
      <c r="V4" s="1" t="s">
        <v>5</v>
      </c>
      <c r="W4" s="1" t="s">
        <v>19</v>
      </c>
      <c r="X4" s="1" t="s">
        <v>12</v>
      </c>
      <c r="Y4" s="1" t="s">
        <v>0</v>
      </c>
      <c r="Z4" s="1" t="s">
        <v>3</v>
      </c>
      <c r="AA4" s="1" t="s">
        <v>4</v>
      </c>
      <c r="AB4" s="1" t="s">
        <v>5</v>
      </c>
      <c r="AC4" s="1" t="s">
        <v>19</v>
      </c>
    </row>
    <row r="5" spans="1:29" x14ac:dyDescent="0.25">
      <c r="B5" s="9">
        <v>0</v>
      </c>
      <c r="C5" s="9">
        <v>0.01</v>
      </c>
      <c r="D5" s="9">
        <f>(1-$C$5)/3</f>
        <v>0.33</v>
      </c>
      <c r="E5" s="9">
        <f t="shared" ref="E5:F5" si="0">(1-$C$5)/3</f>
        <v>0.33</v>
      </c>
      <c r="F5" s="9">
        <f t="shared" si="0"/>
        <v>0.33</v>
      </c>
      <c r="J5" s="1">
        <v>0</v>
      </c>
      <c r="K5" s="8">
        <f>-F12</f>
        <v>-250</v>
      </c>
    </row>
    <row r="6" spans="1:29" x14ac:dyDescent="0.25">
      <c r="B6" s="7">
        <v>0.01</v>
      </c>
      <c r="C6" s="2">
        <v>0.05</v>
      </c>
      <c r="D6" s="2">
        <f t="array" ref="D6:F6">(1-$C6)/3</f>
        <v>0.31666666666666665</v>
      </c>
      <c r="E6" s="2">
        <v>0.31666666666666665</v>
      </c>
      <c r="F6" s="2">
        <v>0.31666666666666665</v>
      </c>
      <c r="I6" s="14">
        <f>IRR($K$5:K6)</f>
        <v>-0.8</v>
      </c>
      <c r="J6" s="1">
        <v>1</v>
      </c>
      <c r="K6" s="8">
        <v>50</v>
      </c>
      <c r="L6" s="8">
        <f>K6</f>
        <v>50</v>
      </c>
      <c r="M6" s="8">
        <f t="array" ref="M6:P8">MMULT(L6:L8,C6:F6)</f>
        <v>2.5</v>
      </c>
      <c r="N6" s="8">
        <v>15.833333333333332</v>
      </c>
      <c r="O6" s="8">
        <v>15.833333333333332</v>
      </c>
      <c r="P6" s="8">
        <v>15.833333333333332</v>
      </c>
      <c r="Q6" s="8"/>
    </row>
    <row r="7" spans="1:29" x14ac:dyDescent="0.25">
      <c r="B7" s="7">
        <v>0.1</v>
      </c>
      <c r="C7" s="2">
        <v>0.15</v>
      </c>
      <c r="D7" s="2">
        <f t="array" ref="D7:F7">(1-$C7)/3</f>
        <v>0.28333333333333333</v>
      </c>
      <c r="E7" s="2">
        <v>0.28333333333333333</v>
      </c>
      <c r="F7" s="2">
        <v>0.28333333333333333</v>
      </c>
      <c r="I7" s="14">
        <f>IRR($K$5:K7)</f>
        <v>-0.25968757625671512</v>
      </c>
      <c r="J7" s="1">
        <v>2</v>
      </c>
      <c r="K7" s="8">
        <v>100</v>
      </c>
      <c r="L7" s="8">
        <f>K7</f>
        <v>100</v>
      </c>
      <c r="M7" s="8">
        <v>5</v>
      </c>
      <c r="N7" s="8">
        <v>31.666666666666664</v>
      </c>
      <c r="O7" s="8">
        <v>31.666666666666664</v>
      </c>
      <c r="P7" s="8">
        <v>31.666666666666664</v>
      </c>
      <c r="Q7" s="8"/>
    </row>
    <row r="8" spans="1:29" x14ac:dyDescent="0.25">
      <c r="B8" s="7">
        <v>0.22</v>
      </c>
      <c r="C8" s="2">
        <v>0.3</v>
      </c>
      <c r="D8" s="2">
        <f t="array" ref="D8:F8">(1-$C8)/3</f>
        <v>0.23333333333333331</v>
      </c>
      <c r="E8" s="2">
        <v>0.23333333333333331</v>
      </c>
      <c r="F8" s="2">
        <v>0.23333333333333331</v>
      </c>
      <c r="I8" s="14">
        <f>IRR($K$5:K8)</f>
        <v>8.2082635483033517E-2</v>
      </c>
      <c r="J8" s="1">
        <v>3</v>
      </c>
      <c r="K8" s="8">
        <v>150</v>
      </c>
      <c r="L8" s="8" cm="1">
        <f t="array" ref="L8">Distribute(K5,K6:K7,B6,J7)</f>
        <v>105.57024999999999</v>
      </c>
      <c r="M8" s="8">
        <v>5.2785124999999997</v>
      </c>
      <c r="N8" s="8">
        <v>33.430579166666661</v>
      </c>
      <c r="O8" s="8">
        <v>33.430579166666661</v>
      </c>
      <c r="P8" s="8">
        <v>33.430579166666661</v>
      </c>
      <c r="Q8" s="8">
        <f t="shared" ref="Q8" si="1">K8-L8</f>
        <v>44.429750000000013</v>
      </c>
      <c r="R8" s="8">
        <f>Q8</f>
        <v>44.429750000000013</v>
      </c>
      <c r="S8" s="8">
        <f t="array" ref="S8:V9">MMULT(R8:R9,C7:F7)</f>
        <v>6.6644625000000017</v>
      </c>
      <c r="T8" s="8">
        <v>12.588429166666669</v>
      </c>
      <c r="U8" s="8">
        <v>12.588429166666669</v>
      </c>
      <c r="V8" s="8">
        <v>12.588429166666669</v>
      </c>
      <c r="W8" s="8"/>
    </row>
    <row r="9" spans="1:29" x14ac:dyDescent="0.25">
      <c r="B9" s="3" t="s">
        <v>22</v>
      </c>
      <c r="C9" s="18">
        <v>0.45</v>
      </c>
      <c r="D9" s="19">
        <f t="array" ref="D9:F9">(1-$C$9)/3</f>
        <v>0.18333333333333335</v>
      </c>
      <c r="E9" s="19">
        <v>0.18333333333333335</v>
      </c>
      <c r="F9" s="19">
        <v>0.18333333333333335</v>
      </c>
      <c r="I9" s="14">
        <f>IRR($K$5:K9)</f>
        <v>0.12622215254135427</v>
      </c>
      <c r="J9" s="1">
        <v>4</v>
      </c>
      <c r="K9" s="8">
        <v>35</v>
      </c>
      <c r="Q9" s="8">
        <f>K9</f>
        <v>35</v>
      </c>
      <c r="R9" s="8" cm="1">
        <f t="array" ref="R9">Distribute(K5,K6:K8,B7,J8)</f>
        <v>13.475000000000083</v>
      </c>
      <c r="S9" s="8">
        <v>2.0212500000000122</v>
      </c>
      <c r="T9" s="8">
        <v>3.8179166666666902</v>
      </c>
      <c r="U9" s="8">
        <v>3.8179166666666902</v>
      </c>
      <c r="V9" s="8">
        <v>3.8179166666666902</v>
      </c>
      <c r="W9" s="8">
        <f>Q9-R9</f>
        <v>21.524999999999917</v>
      </c>
      <c r="X9" s="8">
        <f>W9</f>
        <v>21.524999999999917</v>
      </c>
      <c r="Y9" s="8">
        <f t="array" ref="Y9:AB11">MMULT(X9:X11,C8:F8)</f>
        <v>6.4574999999999747</v>
      </c>
      <c r="Z9" s="8">
        <v>5.0224999999999804</v>
      </c>
      <c r="AA9" s="8">
        <v>5.0224999999999804</v>
      </c>
      <c r="AB9" s="8">
        <v>5.0224999999999804</v>
      </c>
      <c r="AC9" s="8"/>
    </row>
    <row r="10" spans="1:29" x14ac:dyDescent="0.25">
      <c r="I10" s="14">
        <f>IRR($K$5:K10)</f>
        <v>0.19092888867251179</v>
      </c>
      <c r="J10" s="1">
        <v>5</v>
      </c>
      <c r="K10" s="8">
        <v>75</v>
      </c>
      <c r="W10" s="8">
        <f>K10</f>
        <v>75</v>
      </c>
      <c r="X10" s="8">
        <f>W10</f>
        <v>75</v>
      </c>
      <c r="Y10" s="8">
        <v>22.5</v>
      </c>
      <c r="Z10" s="8">
        <v>17.499999999999996</v>
      </c>
      <c r="AA10" s="8">
        <v>17.499999999999996</v>
      </c>
      <c r="AB10" s="8">
        <v>17.499999999999996</v>
      </c>
      <c r="AC10" s="8"/>
    </row>
    <row r="11" spans="1:29" x14ac:dyDescent="0.25">
      <c r="I11" s="14">
        <f>IRR($K$5:K11)</f>
        <v>0.27393472563608534</v>
      </c>
      <c r="J11" s="1">
        <v>6</v>
      </c>
      <c r="K11" s="8">
        <v>175</v>
      </c>
      <c r="W11" s="8">
        <f>K11</f>
        <v>175</v>
      </c>
      <c r="X11" s="8" cm="1">
        <f t="array" ref="X11">Distribute(K5,K6:K10,B8,J10)</f>
        <v>51.685925615999921</v>
      </c>
      <c r="Y11" s="8">
        <v>15.505777684799975</v>
      </c>
      <c r="Z11" s="8">
        <v>12.060049310399981</v>
      </c>
      <c r="AA11" s="8">
        <v>12.060049310399981</v>
      </c>
      <c r="AB11" s="8">
        <v>12.060049310399981</v>
      </c>
      <c r="AC11" s="8">
        <f t="shared" ref="AC11" si="2">W11-X11</f>
        <v>123.31407438400008</v>
      </c>
    </row>
    <row r="12" spans="1:29" x14ac:dyDescent="0.25">
      <c r="B12" s="3" t="s">
        <v>9</v>
      </c>
      <c r="F12" s="10">
        <v>250</v>
      </c>
      <c r="G12" s="1" t="s">
        <v>11</v>
      </c>
      <c r="I12" s="14">
        <f>IRR($K$5:K12)</f>
        <v>0.36138648414112495</v>
      </c>
      <c r="J12" s="1">
        <v>7</v>
      </c>
      <c r="K12" s="8">
        <v>400</v>
      </c>
      <c r="AC12" s="8">
        <f>K12</f>
        <v>400</v>
      </c>
    </row>
    <row r="13" spans="1:29" x14ac:dyDescent="0.25">
      <c r="AC13" s="8"/>
    </row>
    <row r="14" spans="1:29" ht="15.75" thickBot="1" x14ac:dyDescent="0.3">
      <c r="B14" s="11" t="s">
        <v>10</v>
      </c>
      <c r="C14" s="12"/>
      <c r="D14" s="12"/>
      <c r="E14" s="12"/>
      <c r="F14" s="12"/>
      <c r="AC14" s="8"/>
    </row>
    <row r="15" spans="1:29" ht="15.75" thickTop="1" x14ac:dyDescent="0.25">
      <c r="B15" s="13" t="str">
        <f t="array" ref="B15:B18">TRANSPOSE(C4:F4)</f>
        <v>Manager</v>
      </c>
      <c r="F15" s="8">
        <f t="array" ref="F15:F18">TRANSPOSE(C5:F5)*F12</f>
        <v>2.5</v>
      </c>
      <c r="G15" s="1" t="s">
        <v>11</v>
      </c>
      <c r="AC15" s="8"/>
    </row>
    <row r="16" spans="1:29" x14ac:dyDescent="0.25">
      <c r="B16" s="13" t="str">
        <v>PartnerA</v>
      </c>
      <c r="F16" s="8">
        <v>82.5</v>
      </c>
      <c r="G16" s="1" t="s">
        <v>11</v>
      </c>
      <c r="AC16" s="8"/>
    </row>
    <row r="17" spans="2:8" x14ac:dyDescent="0.25">
      <c r="B17" s="13" t="str">
        <v>PartnerB</v>
      </c>
      <c r="F17" s="8">
        <v>82.5</v>
      </c>
      <c r="G17" s="1" t="s">
        <v>11</v>
      </c>
    </row>
    <row r="18" spans="2:8" x14ac:dyDescent="0.25">
      <c r="B18" s="13" t="str">
        <v>PartnerC</v>
      </c>
      <c r="F18" s="8">
        <v>82.5</v>
      </c>
      <c r="G18" s="1" t="s">
        <v>11</v>
      </c>
    </row>
    <row r="20" spans="2:8" ht="15.75" thickBot="1" x14ac:dyDescent="0.3">
      <c r="B20" s="11" t="s">
        <v>21</v>
      </c>
      <c r="C20" s="12"/>
      <c r="D20" s="12"/>
      <c r="E20" s="12"/>
      <c r="F20" s="11" t="s">
        <v>23</v>
      </c>
      <c r="G20" s="11" t="s">
        <v>24</v>
      </c>
    </row>
    <row r="21" spans="2:8" ht="15.75" thickTop="1" x14ac:dyDescent="0.25">
      <c r="B21" s="13" t="str">
        <f t="array" ref="B21:B24">B15:B18</f>
        <v>Manager</v>
      </c>
      <c r="F21" s="8">
        <f t="array" ref="F21:F24">TRANSPOSE(C9:F9)*AC11</f>
        <v>55.491333472800036</v>
      </c>
      <c r="G21" s="8">
        <f t="array" ref="G21:G24">TRANSPOSE(C9:F9)*AC12</f>
        <v>180</v>
      </c>
      <c r="H21" s="1" t="s">
        <v>11</v>
      </c>
    </row>
    <row r="22" spans="2:8" x14ac:dyDescent="0.25">
      <c r="B22" s="13" t="str">
        <v>PartnerA</v>
      </c>
      <c r="F22" s="8">
        <v>22.60758030373335</v>
      </c>
      <c r="G22" s="8">
        <v>73.333333333333343</v>
      </c>
      <c r="H22" s="1" t="s">
        <v>11</v>
      </c>
    </row>
    <row r="23" spans="2:8" x14ac:dyDescent="0.25">
      <c r="B23" s="13" t="str">
        <v>PartnerB</v>
      </c>
      <c r="F23" s="8">
        <v>22.60758030373335</v>
      </c>
      <c r="G23" s="8">
        <v>73.333333333333343</v>
      </c>
      <c r="H23" s="1" t="s">
        <v>11</v>
      </c>
    </row>
    <row r="24" spans="2:8" x14ac:dyDescent="0.25">
      <c r="B24" s="13" t="str">
        <v>PartnerC</v>
      </c>
      <c r="F24" s="8">
        <v>22.60758030373335</v>
      </c>
      <c r="G24" s="8">
        <v>73.333333333333343</v>
      </c>
      <c r="H24" s="1" t="s">
        <v>11</v>
      </c>
    </row>
    <row r="34" spans="2:2" x14ac:dyDescent="0.25">
      <c r="B34" s="15" t="s">
        <v>13</v>
      </c>
    </row>
    <row r="35" spans="2:2" x14ac:dyDescent="0.25">
      <c r="B35" s="15" t="s">
        <v>14</v>
      </c>
    </row>
    <row r="36" spans="2:2" x14ac:dyDescent="0.25">
      <c r="B36" s="1" t="s">
        <v>15</v>
      </c>
    </row>
    <row r="37" spans="2:2" x14ac:dyDescent="0.25">
      <c r="B37" s="15" t="s">
        <v>16</v>
      </c>
    </row>
    <row r="38" spans="2:2" x14ac:dyDescent="0.25">
      <c r="B38" s="1" t="s">
        <v>17</v>
      </c>
    </row>
  </sheetData>
  <mergeCells count="3">
    <mergeCell ref="M3:P3"/>
    <mergeCell ref="S3:V3"/>
    <mergeCell ref="Y3:AB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Waterfall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Mohammed I Sharieff</dc:creator>
  <cp:lastModifiedBy>Mohammed I Sharieff</cp:lastModifiedBy>
  <dcterms:created xsi:type="dcterms:W3CDTF">2024-12-05T22:44:20Z</dcterms:created>
  <dcterms:modified xsi:type="dcterms:W3CDTF">2024-12-06T02:24:26Z</dcterms:modified>
</cp:coreProperties>
</file>